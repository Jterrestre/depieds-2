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vi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<sst xmlns="http://schemas.openxmlformats.org/spreadsheetml/2006/main" uniqueCount="102">
  <si>
    <t>terrestre · paysage</t>
  </si>
  <si>
    <t>Paysage · Marseille</t>
  </si>
  <si>
    <t>DEVIS ESTIMATIF &amp; MANDAT D'ACHAT</t>
  </si>
  <si>
    <t>Jardin de la Colline Chanot — Aménagement</t>
  </si>
  <si>
    <t>Maîtres d'ouvrage : Mmes Depieds &amp; M. Borra</t>
  </si>
  <si>
    <t>Adresse chantier : 4 rue Colline Chanot · 13007 Marseille</t>
  </si>
  <si>
    <t>Émission : mai 2026 · Réf. DEV — 2026 / 047 · Validité 3 mois</t>
  </si>
  <si>
    <t>MAIN D'ŒUVRE : 40 €/h · TVA non applicable, art. 293 B du CGI</t>
  </si>
  <si>
    <t>N°</t>
  </si>
  <si>
    <t>DÉSIGNATION</t>
  </si>
  <si>
    <t>UNITÉ</t>
  </si>
  <si>
    <t>QTÉ</t>
  </si>
  <si>
    <t>PU</t>
  </si>
  <si>
    <t>TOTAL</t>
  </si>
  <si>
    <t>I · PRÉPARATION &amp; OUVERTURE DU JARDIN</t>
  </si>
  <si>
    <t>Compost &amp; amendements organiques (apport nutriments)</t>
  </si>
  <si>
    <t>forfait</t>
  </si>
  <si>
    <t>Évacuation déchèterie haie fusains+pittosporum, location benne</t>
  </si>
  <si>
    <t>Main d'œuvre — élagage haie, dépose haie, évacuation</t>
  </si>
  <si>
    <t>heure</t>
  </si>
  <si>
    <t>Location motoculteur (</t>
  </si>
  <si>
    <t>Forfait</t>
  </si>
  <si>
    <t>Main d'œuvre — déterrage sujets, mise en jauge, labour, épandage compost</t>
  </si>
  <si>
    <t>Sous-total I · Préparation</t>
  </si>
  <si>
    <t>II · TERRASSE BOIS — 7 × 2,8 M (19,6 M²)</t>
  </si>
  <si>
    <t>Lames de terrasse bois exotique imputrescible (Cumaru)</t>
  </si>
  <si>
    <t>u</t>
  </si>
  <si>
    <t>Lambourdes (doublées) &amp; structure porteuse</t>
  </si>
  <si>
    <t>Sous-couche lit tout venant</t>
  </si>
  <si>
    <t>Feutre polymère</t>
  </si>
  <si>
    <t>U</t>
  </si>
  <si>
    <t>Quincaillerie &amp; visserie inox, cales, chevilles</t>
  </si>
  <si>
    <t>Livraison matériaux bois</t>
  </si>
  <si>
    <t>Livraison tout venant</t>
  </si>
  <si>
    <t>Main d'œuvre — fabrication, pose, finitions</t>
  </si>
  <si>
    <t>Sous-total II · Terrasse bois</t>
  </si>
  <si>
    <t>III · ARROSAGE AUTOMATIQUE</t>
  </si>
  <si>
    <t>Tuyaux goutte-à-goutte (grande + petite section)</t>
  </si>
  <si>
    <t>Programmateur 4 zones</t>
  </si>
  <si>
    <t>Raccords, connecteurs, fixations, accroches</t>
  </si>
  <si>
    <t>Main d'œuvre — installation arrosage</t>
  </si>
  <si>
    <t>Sous-total III · Arrosage</t>
  </si>
  <si>
    <t>IV · ÉLECTRICITÉ PAYSAGÈRE (HORS LUMINAIRES)</t>
  </si>
  <si>
    <t>Câblage section 2,5 + 1,5 mm², gaines</t>
  </si>
  <si>
    <t>Boîtes de dérivation, prises étanches, étanchéité</t>
  </si>
  <si>
    <t>Bornes d’éclairage</t>
  </si>
  <si>
    <t>Main d'œuvre — tranchées, tirage câble, raccordement</t>
  </si>
  <si>
    <t>Sous-total IV · Électricité</t>
  </si>
  <si>
    <t>ESCALIER PASSERELLE &amp; CIRCULATION</t>
  </si>
  <si>
    <t>Dépose bordure Est &amp; lames bois passage (évacuation)</t>
  </si>
  <si>
    <t>Main d'œuvre — dépose &amp; élargissement passage</t>
  </si>
  <si>
    <t>Bois acacia escalier + visserie + scellement postcrete</t>
  </si>
  <si>
    <t>Main d'œuvre — fabrication &amp; pose escalier</t>
  </si>
  <si>
    <t>Sous-total V · Circulations</t>
  </si>
  <si>
    <t>VI · BORDURES CORTEN &amp; ALLÉES GRAVIERS</t>
  </si>
  <si>
    <t>Bordures acier Corten H 15 cm — 70 m + 10% marge = 77 m</t>
  </si>
  <si>
    <t>ml</t>
  </si>
  <si>
    <t>Piquets d'ancrage acier + visserie inox complément</t>
  </si>
  <si>
    <t>Main d'œuvre — pose Corten (tracé courbe, ancrage)</t>
  </si>
  <si>
    <t>Graviers roulés + sable + gravier de finition</t>
  </si>
  <si>
    <t>Main d'œuvre — étalage &amp; stabilisation</t>
  </si>
  <si>
    <t>Sous-total VI · Bordures Corten &amp; allées</t>
  </si>
  <si>
    <t>VII · ÉLAGAGE &amp; DÉPLACEMENTS D'ARBRES</t>
  </si>
  <si>
    <t>Petit matériel, consommables, évacuation</t>
  </si>
  <si>
    <t>Main d'œuvre — élagage périphérie + déplacement cerisier</t>
  </si>
  <si>
    <t>Sous-total VII · Élagage</t>
  </si>
  <si>
    <t>VIII · PLANTATIONS, GANIVELLES, GAZON</t>
  </si>
  <si>
    <t>Végétaux — massifs méditerranéen, exotique, vivaces, sous-bois</t>
  </si>
  <si>
    <t>Main d'œuvre — plantations massifs</t>
  </si>
  <si>
    <t>Ganivelles bois de châtaignier (30 m)</t>
  </si>
  <si>
    <t>m</t>
  </si>
  <si>
    <t>Main d'œuvre — pose ganivelles</t>
  </si>
  <si>
    <t>Gazon à semer</t>
  </si>
  <si>
    <t>Paillage des massifs</t>
  </si>
  <si>
    <t>Main d'œuvre — pose gazon + paillage</t>
  </si>
  <si>
    <t>Sous-total VIII · Plantations</t>
  </si>
  <si>
    <t>IX · RACCORDEMENTS &amp; FINITIONS</t>
  </si>
  <si>
    <t>Connectique, fixations, finitions raccords</t>
  </si>
  <si>
    <t>Main d'œuvre — connexion arrosage, élec, tests, mise en service</t>
  </si>
  <si>
    <t>Sous-total IX · Raccordements</t>
  </si>
  <si>
    <t>X · DIVERS &amp; FRAIS DE LOGISTIQUE</t>
  </si>
  <si>
    <t>Quincaillerie, postcrete, consommables, livraisons</t>
  </si>
  <si>
    <t>Sous-total X · Divers</t>
  </si>
  <si>
    <t>SYNTHÈSE FINALE</t>
  </si>
  <si>
    <t>Sous-total travaux brut</t>
  </si>
  <si>
    <t>Conception (étude, plans AutoCAD, palette, suivi — valeur estimée 10 %)</t>
  </si>
  <si>
    <t>REMISE COMMERCIALE — conception offerte par terrestre · paysage</t>
  </si>
  <si>
    <t>TOTAL NET À PAYER</t>
  </si>
  <si>
    <t>TVA non applicable, art. 293 B du CGI (micro-entreprise).</t>
  </si>
  <si>
    <t>Acompte 30 % à la signature · solde fin de chantier · Validité 3 mois.</t>
  </si>
  <si>
    <t>Mobilier (Amelia, Dubai, Sori) et bornes d'éclairage (Haloa, Iridix) à acquérir séparément.</t>
  </si>
  <si>
    <t>Acompte 30 % à la signature</t>
  </si>
  <si>
    <t>Solde à la livraison</t>
  </si>
  <si>
    <t>MANDAT D'ACHAT — MATÉRIAUX &amp; MOBILIER</t>
  </si>
  <si>
    <t>Par la signature ci-dessous, Mmes Depieds et M. Borra donnent mandat à Julien Font (terrestre · paysage)</t>
  </si>
  <si>
    <t>pour procéder, en leur nom, à l'achat des matériaux nécessaires à l'exécution du chantier.</t>
  </si>
  <si>
    <t>Le règlement de ces achats reste à la charge du mandant. Factures originales fournies en fin de chantier.</t>
  </si>
  <si>
    <t>Bon pour accord — devis et mandat d'achat :</t>
  </si>
  <si>
    <t>Mme Depieds : ____________________________________________</t>
  </si>
  <si>
    <t>Mme Depieds : _____________________________________</t>
  </si>
  <si>
    <t>M. Borra : ________________________________________________</t>
  </si>
  <si>
    <t>Julien Font (terrestre · paysage) : __________________________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</si>
</sst>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.00&quot; €&quot;"/>
    <numFmt numFmtId="60" formatCode="#,##0.00&quot; €&quot;;&quot;(-&quot;#,##0.00&quot; €)&quot;"/>
    <numFmt numFmtId="61" formatCode="#,##0&quot; €&quot;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8"/>
      <color indexed="11"/>
      <name val="Courier New"/>
    </font>
    <font>
      <sz val="9"/>
      <color indexed="12"/>
      <name val="Courier New"/>
    </font>
    <font>
      <sz val="11"/>
      <color indexed="11"/>
      <name val="Courier New"/>
    </font>
    <font>
      <sz val="10"/>
      <color indexed="11"/>
      <name val="Courier New"/>
    </font>
    <font>
      <sz val="9"/>
      <color indexed="11"/>
      <name val="Courier New"/>
    </font>
    <font>
      <sz val="10"/>
      <color indexed="15"/>
      <name val="Courier New"/>
    </font>
    <font>
      <sz val="14"/>
      <color indexed="9"/>
      <name val="Courier New"/>
    </font>
    <font>
      <sz val="18"/>
      <color indexed="9"/>
      <name val="Courier New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1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11"/>
      </bottom>
      <diagonal/>
    </border>
    <border>
      <left style="thin">
        <color indexed="13"/>
      </left>
      <right style="thin">
        <color indexed="13"/>
      </right>
      <top style="medium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49" fontId="4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 wrapText="1"/>
    </xf>
    <xf numFmtId="49" fontId="5" fillId="2" borderId="1" applyNumberFormat="1" applyFont="1" applyFill="1" applyBorder="1" applyAlignment="1" applyProtection="0">
      <alignment vertical="bottom" wrapText="1"/>
    </xf>
    <xf numFmtId="49" fontId="6" fillId="2" borderId="1" applyNumberFormat="1" applyFont="1" applyFill="1" applyBorder="1" applyAlignment="1" applyProtection="0">
      <alignment vertical="bottom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 wrapText="1"/>
    </xf>
    <xf numFmtId="49" fontId="7" fillId="3" borderId="3" applyNumberFormat="1" applyFont="1" applyFill="1" applyBorder="1" applyAlignment="1" applyProtection="0">
      <alignment horizontal="center" vertical="center"/>
    </xf>
    <xf numFmtId="49" fontId="7" fillId="3" borderId="4" applyNumberFormat="1" applyFont="1" applyFill="1" applyBorder="1" applyAlignment="1" applyProtection="0">
      <alignment horizontal="left" vertical="center" wrapText="1"/>
    </xf>
    <xf numFmtId="1" fontId="0" fillId="3" borderId="3" applyNumberFormat="1" applyFont="1" applyFill="1" applyBorder="1" applyAlignment="1" applyProtection="0">
      <alignment vertical="center"/>
    </xf>
    <xf numFmtId="49" fontId="6" fillId="3" borderId="5" applyNumberFormat="1" applyFont="1" applyFill="1" applyBorder="1" applyAlignment="1" applyProtection="0">
      <alignment vertical="center" wrapText="1"/>
    </xf>
    <xf numFmtId="1" fontId="4" fillId="2" borderId="3" applyNumberFormat="1" applyFont="1" applyFill="1" applyBorder="1" applyAlignment="1" applyProtection="0">
      <alignment horizontal="center" vertical="center"/>
    </xf>
    <xf numFmtId="49" fontId="6" fillId="2" borderId="3" applyNumberFormat="1" applyFont="1" applyFill="1" applyBorder="1" applyAlignment="1" applyProtection="0">
      <alignment vertical="bottom" wrapText="1"/>
    </xf>
    <xf numFmtId="49" fontId="4" fillId="2" borderId="3" applyNumberFormat="1" applyFont="1" applyFill="1" applyBorder="1" applyAlignment="1" applyProtection="0">
      <alignment horizontal="center" vertical="bottom"/>
    </xf>
    <xf numFmtId="1" fontId="8" fillId="2" borderId="3" applyNumberFormat="1" applyFont="1" applyFill="1" applyBorder="1" applyAlignment="1" applyProtection="0">
      <alignment horizontal="center" vertical="bottom"/>
    </xf>
    <xf numFmtId="59" fontId="8" fillId="2" borderId="3" applyNumberFormat="1" applyFont="1" applyFill="1" applyBorder="1" applyAlignment="1" applyProtection="0">
      <alignment horizontal="right" vertical="bottom"/>
    </xf>
    <xf numFmtId="59" fontId="6" fillId="2" borderId="3" applyNumberFormat="1" applyFont="1" applyFill="1" applyBorder="1" applyAlignment="1" applyProtection="0">
      <alignment horizontal="right" vertical="bottom"/>
    </xf>
    <xf numFmtId="1" fontId="0" fillId="4" borderId="3" applyNumberFormat="1" applyFont="1" applyFill="1" applyBorder="1" applyAlignment="1" applyProtection="0">
      <alignment vertical="bottom"/>
    </xf>
    <xf numFmtId="49" fontId="6" fillId="4" borderId="4" applyNumberFormat="1" applyFont="1" applyFill="1" applyBorder="1" applyAlignment="1" applyProtection="0">
      <alignment vertical="center" wrapText="1"/>
    </xf>
    <xf numFmtId="59" fontId="5" fillId="4" borderId="3" applyNumberFormat="1" applyFont="1" applyFill="1" applyBorder="1" applyAlignment="1" applyProtection="0">
      <alignment horizontal="right" vertical="center"/>
    </xf>
    <xf numFmtId="59" fontId="5" fillId="4" borderId="4" applyNumberFormat="1" applyFont="1" applyFill="1" applyBorder="1" applyAlignment="1" applyProtection="0">
      <alignment horizontal="right" vertical="center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 wrapText="1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1" fontId="0" fillId="2" borderId="3" applyNumberFormat="1" applyFont="1" applyFill="1" applyBorder="1" applyAlignment="1" applyProtection="0">
      <alignment vertical="bottom"/>
    </xf>
    <xf numFmtId="59" fontId="5" fillId="2" borderId="3" applyNumberFormat="1" applyFont="1" applyFill="1" applyBorder="1" applyAlignment="1" applyProtection="0">
      <alignment horizontal="right" vertical="bottom"/>
    </xf>
    <xf numFmtId="49" fontId="6" fillId="2" borderId="9" applyNumberFormat="1" applyFont="1" applyFill="1" applyBorder="1" applyAlignment="1" applyProtection="0">
      <alignment vertical="bottom" wrapText="1"/>
    </xf>
    <xf numFmtId="0" fontId="0" fillId="2" borderId="9" applyNumberFormat="0" applyFont="1" applyFill="1" applyBorder="1" applyAlignment="1" applyProtection="0">
      <alignment vertical="bottom"/>
    </xf>
    <xf numFmtId="59" fontId="6" fillId="2" borderId="9" applyNumberFormat="1" applyFont="1" applyFill="1" applyBorder="1" applyAlignment="1" applyProtection="0">
      <alignment horizontal="right" vertical="bottom"/>
    </xf>
    <xf numFmtId="49" fontId="6" fillId="4" borderId="3" applyNumberFormat="1" applyFont="1" applyFill="1" applyBorder="1" applyAlignment="1" applyProtection="0">
      <alignment vertical="bottom" wrapText="1"/>
    </xf>
    <xf numFmtId="60" fontId="6" fillId="4" borderId="3" applyNumberFormat="1" applyFont="1" applyFill="1" applyBorder="1" applyAlignment="1" applyProtection="0">
      <alignment horizontal="right" vertical="bottom"/>
    </xf>
    <xf numFmtId="0" fontId="0" fillId="2" borderId="10" applyNumberFormat="0" applyFont="1" applyFill="1" applyBorder="1" applyAlignment="1" applyProtection="0">
      <alignment vertical="bottom" wrapText="1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9" fillId="5" borderId="12" applyNumberFormat="1" applyFont="1" applyFill="1" applyBorder="1" applyAlignment="1" applyProtection="0">
      <alignment vertical="center" wrapText="1"/>
    </xf>
    <xf numFmtId="1" fontId="0" fillId="5" borderId="12" applyNumberFormat="1" applyFont="1" applyFill="1" applyBorder="1" applyAlignment="1" applyProtection="0">
      <alignment vertical="bottom"/>
    </xf>
    <xf numFmtId="61" fontId="10" fillId="5" borderId="13" applyNumberFormat="1" applyFont="1" applyFill="1" applyBorder="1" applyAlignment="1" applyProtection="0">
      <alignment horizontal="right" vertical="center"/>
    </xf>
    <xf numFmtId="0" fontId="0" fillId="2" borderId="14" applyNumberFormat="0" applyFont="1" applyFill="1" applyBorder="1" applyAlignment="1" applyProtection="0">
      <alignment vertical="bottom" wrapText="1"/>
    </xf>
    <xf numFmtId="0" fontId="0" fillId="2" borderId="14" applyNumberFormat="0" applyFont="1" applyFill="1" applyBorder="1" applyAlignment="1" applyProtection="0">
      <alignment vertical="bottom"/>
    </xf>
    <xf numFmtId="61" fontId="5" fillId="2" borderId="1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a1a1a"/>
      <rgbColor rgb="ff666666"/>
      <rgbColor rgb="ff888888"/>
      <rgbColor rgb="ffe5e5e2"/>
      <rgbColor rgb="ff0066cc"/>
      <rgbColor rgb="fff4f4f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9"/>
  <sheetViews>
    <sheetView workbookViewId="0" showGridLines="0" defaultGridColor="1"/>
  </sheetViews>
  <sheetFormatPr defaultColWidth="8.66667" defaultRowHeight="15" customHeight="1" outlineLevelRow="0" outlineLevelCol="0"/>
  <cols>
    <col min="1" max="1" width="5" style="1" customWidth="1"/>
    <col min="2" max="2" width="59.7891" style="1" customWidth="1"/>
    <col min="3" max="3" width="10" style="1" customWidth="1"/>
    <col min="4" max="4" width="8" style="1" customWidth="1"/>
    <col min="5" max="5" width="12" style="1" customWidth="1"/>
    <col min="6" max="6" width="18" style="1" customWidth="1"/>
    <col min="7" max="16384" width="8.67188" style="1" customWidth="1"/>
  </cols>
  <sheetData>
    <row r="1" ht="24" customHeight="1">
      <c r="A1" s="2"/>
      <c r="B1" t="s" s="3">
        <v>0</v>
      </c>
      <c r="C1" s="2"/>
      <c r="D1" s="2"/>
      <c r="E1" s="2"/>
      <c r="F1" s="2"/>
    </row>
    <row r="2" ht="13.55" customHeight="1">
      <c r="A2" s="2"/>
      <c r="B2" t="s" s="4">
        <v>1</v>
      </c>
      <c r="C2" s="2"/>
      <c r="D2" s="2"/>
      <c r="E2" s="2"/>
      <c r="F2" s="2"/>
    </row>
    <row r="3" ht="13.55" customHeight="1">
      <c r="A3" s="2"/>
      <c r="B3" s="5"/>
      <c r="C3" s="2"/>
      <c r="D3" s="2"/>
      <c r="E3" s="2"/>
      <c r="F3" s="2"/>
    </row>
    <row r="4" ht="15" customHeight="1">
      <c r="A4" s="2"/>
      <c r="B4" t="s" s="6">
        <v>2</v>
      </c>
      <c r="C4" s="2"/>
      <c r="D4" s="2"/>
      <c r="E4" s="2"/>
      <c r="F4" s="2"/>
    </row>
    <row r="5" ht="14" customHeight="1">
      <c r="A5" s="2"/>
      <c r="B5" t="s" s="7">
        <v>3</v>
      </c>
      <c r="C5" s="2"/>
      <c r="D5" s="2"/>
      <c r="E5" s="2"/>
      <c r="F5" s="2"/>
    </row>
    <row r="6" ht="13.55" customHeight="1">
      <c r="A6" s="2"/>
      <c r="B6" s="5"/>
      <c r="C6" s="2"/>
      <c r="D6" s="2"/>
      <c r="E6" s="2"/>
      <c r="F6" s="2"/>
    </row>
    <row r="7" ht="14" customHeight="1">
      <c r="A7" s="2"/>
      <c r="B7" t="s" s="7">
        <v>4</v>
      </c>
      <c r="C7" s="2"/>
      <c r="D7" s="2"/>
      <c r="E7" s="2"/>
      <c r="F7" s="2"/>
    </row>
    <row r="8" ht="14" customHeight="1">
      <c r="A8" s="2"/>
      <c r="B8" t="s" s="7">
        <v>5</v>
      </c>
      <c r="C8" s="2"/>
      <c r="D8" s="2"/>
      <c r="E8" s="2"/>
      <c r="F8" s="2"/>
    </row>
    <row r="9" ht="25" customHeight="1">
      <c r="A9" s="2"/>
      <c r="B9" t="s" s="7">
        <v>6</v>
      </c>
      <c r="C9" s="2"/>
      <c r="D9" s="2"/>
      <c r="E9" s="2"/>
      <c r="F9" s="2"/>
    </row>
    <row r="10" ht="13.55" customHeight="1">
      <c r="A10" s="2"/>
      <c r="B10" s="5"/>
      <c r="C10" s="2"/>
      <c r="D10" s="2"/>
      <c r="E10" s="2"/>
      <c r="F10" s="2"/>
    </row>
    <row r="11" ht="13.55" customHeight="1">
      <c r="A11" s="2"/>
      <c r="B11" t="s" s="4">
        <v>7</v>
      </c>
      <c r="C11" s="2"/>
      <c r="D11" s="2"/>
      <c r="E11" s="2"/>
      <c r="F11" s="2"/>
    </row>
    <row r="12" ht="13.55" customHeight="1">
      <c r="A12" s="8"/>
      <c r="B12" s="9"/>
      <c r="C12" s="8"/>
      <c r="D12" s="8"/>
      <c r="E12" s="8"/>
      <c r="F12" s="8"/>
    </row>
    <row r="13" ht="21.75" customHeight="1">
      <c r="A13" t="s" s="10">
        <v>8</v>
      </c>
      <c r="B13" t="s" s="11">
        <v>9</v>
      </c>
      <c r="C13" t="s" s="10">
        <v>10</v>
      </c>
      <c r="D13" t="s" s="10">
        <v>11</v>
      </c>
      <c r="E13" t="s" s="10">
        <v>12</v>
      </c>
      <c r="F13" t="s" s="10">
        <v>13</v>
      </c>
    </row>
    <row r="14" ht="21.75" customHeight="1">
      <c r="A14" s="12"/>
      <c r="B14" t="s" s="13">
        <v>14</v>
      </c>
      <c r="C14" s="12"/>
      <c r="D14" s="12"/>
      <c r="E14" s="12"/>
      <c r="F14" s="12"/>
    </row>
    <row r="15" ht="14" customHeight="1">
      <c r="A15" s="14">
        <v>1</v>
      </c>
      <c r="B15" t="s" s="15">
        <v>15</v>
      </c>
      <c r="C15" t="s" s="16">
        <v>16</v>
      </c>
      <c r="D15" s="17">
        <v>1</v>
      </c>
      <c r="E15" s="18">
        <v>900</v>
      </c>
      <c r="F15" s="19">
        <v>600</v>
      </c>
    </row>
    <row r="16" ht="25" customHeight="1">
      <c r="A16" s="14">
        <v>2</v>
      </c>
      <c r="B16" t="s" s="15">
        <v>17</v>
      </c>
      <c r="C16" t="s" s="16">
        <v>16</v>
      </c>
      <c r="D16" s="17">
        <v>1</v>
      </c>
      <c r="E16" s="18">
        <v>80</v>
      </c>
      <c r="F16" s="19" cm="1">
        <f t="array" ref="F16">D16*E16</f>
        <v>80</v>
      </c>
    </row>
    <row r="17" ht="14" customHeight="1">
      <c r="A17" s="14">
        <v>3</v>
      </c>
      <c r="B17" t="s" s="15">
        <v>18</v>
      </c>
      <c r="C17" t="s" s="16">
        <v>19</v>
      </c>
      <c r="D17" s="17">
        <v>8</v>
      </c>
      <c r="E17" s="18">
        <v>40</v>
      </c>
      <c r="F17" s="19" cm="1">
        <f t="array" ref="F17">D17*E17</f>
        <v>320</v>
      </c>
    </row>
    <row r="18" ht="14" customHeight="1">
      <c r="A18" s="14">
        <v>4</v>
      </c>
      <c r="B18" t="s" s="15">
        <v>20</v>
      </c>
      <c r="C18" t="s" s="16">
        <v>21</v>
      </c>
      <c r="D18" s="17">
        <v>1</v>
      </c>
      <c r="E18" s="18">
        <v>250</v>
      </c>
      <c r="F18" s="19" cm="1">
        <f t="array" ref="F18">D18*E18</f>
        <v>250</v>
      </c>
    </row>
    <row r="19" ht="25" customHeight="1">
      <c r="A19" s="14">
        <v>5</v>
      </c>
      <c r="B19" t="s" s="15">
        <v>22</v>
      </c>
      <c r="C19" t="s" s="16">
        <v>19</v>
      </c>
      <c r="D19" s="17">
        <v>12</v>
      </c>
      <c r="E19" s="18">
        <v>40</v>
      </c>
      <c r="F19" s="19" cm="1">
        <f t="array" ref="F19">D19*E19</f>
        <v>480</v>
      </c>
    </row>
    <row r="20" ht="21.75" customHeight="1">
      <c r="A20" s="20"/>
      <c r="B20" t="s" s="21">
        <v>23</v>
      </c>
      <c r="C20" s="20"/>
      <c r="D20" s="20"/>
      <c r="E20" s="20"/>
      <c r="F20" s="22" cm="1">
        <f t="array" ref="F20">SUM(F15:F19)</f>
        <v>1730</v>
      </c>
    </row>
    <row r="21" ht="21.75" customHeight="1">
      <c r="A21" s="12"/>
      <c r="B21" t="s" s="13">
        <v>24</v>
      </c>
      <c r="C21" s="12"/>
      <c r="D21" s="12"/>
      <c r="E21" s="12"/>
      <c r="F21" s="12"/>
    </row>
    <row r="22" ht="14" customHeight="1">
      <c r="A22" s="14">
        <v>6</v>
      </c>
      <c r="B22" t="s" s="15">
        <v>25</v>
      </c>
      <c r="C22" t="s" s="16">
        <v>26</v>
      </c>
      <c r="D22" s="17">
        <v>40</v>
      </c>
      <c r="E22" s="18">
        <v>39</v>
      </c>
      <c r="F22" s="19" cm="1">
        <f t="array" ref="F22">D22*E22</f>
        <v>1560</v>
      </c>
    </row>
    <row r="23" ht="14" customHeight="1">
      <c r="A23" s="14">
        <v>7</v>
      </c>
      <c r="B23" t="s" s="15">
        <v>27</v>
      </c>
      <c r="C23" t="s" s="16">
        <v>26</v>
      </c>
      <c r="D23" s="17">
        <v>40</v>
      </c>
      <c r="E23" s="18">
        <v>18.5</v>
      </c>
      <c r="F23" s="19" cm="1">
        <f t="array" ref="F23">D23*E23</f>
        <v>740</v>
      </c>
    </row>
    <row r="24" ht="14" customHeight="1">
      <c r="A24" s="14">
        <v>8</v>
      </c>
      <c r="B24" t="s" s="15">
        <v>28</v>
      </c>
      <c r="C24" t="s" s="16">
        <v>26</v>
      </c>
      <c r="D24" s="17">
        <v>1</v>
      </c>
      <c r="E24" s="18">
        <v>300</v>
      </c>
      <c r="F24" s="19" cm="1">
        <f t="array" ref="F24">D24*E24</f>
        <v>300</v>
      </c>
    </row>
    <row r="25" ht="14" customHeight="1">
      <c r="A25" s="14">
        <v>9</v>
      </c>
      <c r="B25" t="s" s="15">
        <v>29</v>
      </c>
      <c r="C25" t="s" s="16">
        <v>30</v>
      </c>
      <c r="D25" s="17">
        <v>1</v>
      </c>
      <c r="E25" s="18">
        <v>90</v>
      </c>
      <c r="F25" s="19" cm="1">
        <f t="array" ref="F25">D25*E25</f>
        <v>90</v>
      </c>
    </row>
    <row r="26" ht="14" customHeight="1">
      <c r="A26" s="14">
        <v>10</v>
      </c>
      <c r="B26" t="s" s="15">
        <v>31</v>
      </c>
      <c r="C26" t="s" s="16">
        <v>16</v>
      </c>
      <c r="D26" s="17">
        <v>1</v>
      </c>
      <c r="E26" s="18">
        <v>210</v>
      </c>
      <c r="F26" s="19" cm="1">
        <f t="array" ref="F26">D26*E26</f>
        <v>210</v>
      </c>
    </row>
    <row r="27" ht="14" customHeight="1">
      <c r="A27" s="14">
        <v>11</v>
      </c>
      <c r="B27" t="s" s="15">
        <v>32</v>
      </c>
      <c r="C27" t="s" s="16">
        <v>16</v>
      </c>
      <c r="D27" s="17">
        <v>1</v>
      </c>
      <c r="E27" s="18">
        <v>90</v>
      </c>
      <c r="F27" s="19" cm="1">
        <f t="array" ref="F27">D27*E27</f>
        <v>90</v>
      </c>
    </row>
    <row r="28" ht="14" customHeight="1">
      <c r="A28" s="14">
        <v>12</v>
      </c>
      <c r="B28" t="s" s="15">
        <v>33</v>
      </c>
      <c r="C28" t="s" s="16">
        <v>16</v>
      </c>
      <c r="D28" s="17">
        <v>1</v>
      </c>
      <c r="E28" s="18">
        <v>80</v>
      </c>
      <c r="F28" s="19" cm="1">
        <f t="array" ref="F28">D28*E28</f>
        <v>80</v>
      </c>
    </row>
    <row r="29" ht="14" customHeight="1">
      <c r="A29" s="14">
        <v>13</v>
      </c>
      <c r="B29" t="s" s="15">
        <v>34</v>
      </c>
      <c r="C29" t="s" s="16">
        <v>19</v>
      </c>
      <c r="D29" s="17">
        <v>48</v>
      </c>
      <c r="E29" s="18">
        <v>40</v>
      </c>
      <c r="F29" s="19" cm="1">
        <f t="array" ref="F29">D29*E29</f>
        <v>1920</v>
      </c>
    </row>
    <row r="30" ht="21.75" customHeight="1">
      <c r="A30" s="20"/>
      <c r="B30" t="s" s="21">
        <v>35</v>
      </c>
      <c r="C30" s="20"/>
      <c r="D30" s="20"/>
      <c r="E30" s="20"/>
      <c r="F30" s="22" cm="1">
        <f t="array" ref="F30">SUM(F22:F29)</f>
        <v>4990</v>
      </c>
    </row>
    <row r="31" ht="21.75" customHeight="1">
      <c r="A31" s="12"/>
      <c r="B31" t="s" s="13">
        <v>36</v>
      </c>
      <c r="C31" s="12"/>
      <c r="D31" s="12"/>
      <c r="E31" s="12"/>
      <c r="F31" s="12"/>
    </row>
    <row r="32" ht="14" customHeight="1">
      <c r="A32" s="14">
        <v>14</v>
      </c>
      <c r="B32" t="s" s="15">
        <v>37</v>
      </c>
      <c r="C32" t="s" s="16">
        <v>16</v>
      </c>
      <c r="D32" s="17">
        <v>1</v>
      </c>
      <c r="E32" s="18">
        <v>200</v>
      </c>
      <c r="F32" s="19" cm="1">
        <f t="array" ref="F32">D32*E32</f>
        <v>200</v>
      </c>
    </row>
    <row r="33" ht="14" customHeight="1">
      <c r="A33" s="14">
        <v>15</v>
      </c>
      <c r="B33" t="s" s="15">
        <v>38</v>
      </c>
      <c r="C33" t="s" s="16">
        <v>26</v>
      </c>
      <c r="D33" s="17">
        <v>1</v>
      </c>
      <c r="E33" s="18">
        <v>200</v>
      </c>
      <c r="F33" s="19" cm="1">
        <f t="array" ref="F33">D33*E33</f>
        <v>200</v>
      </c>
    </row>
    <row r="34" ht="14" customHeight="1">
      <c r="A34" s="14">
        <v>16</v>
      </c>
      <c r="B34" t="s" s="15">
        <v>39</v>
      </c>
      <c r="C34" t="s" s="16">
        <v>16</v>
      </c>
      <c r="D34" s="17">
        <v>1</v>
      </c>
      <c r="E34" s="18">
        <v>115</v>
      </c>
      <c r="F34" s="19" cm="1">
        <f t="array" ref="F34">D34*E34</f>
        <v>115</v>
      </c>
    </row>
    <row r="35" ht="14" customHeight="1">
      <c r="A35" s="14">
        <v>17</v>
      </c>
      <c r="B35" t="s" s="15">
        <v>40</v>
      </c>
      <c r="C35" t="s" s="16">
        <v>19</v>
      </c>
      <c r="D35" s="17">
        <v>16</v>
      </c>
      <c r="E35" s="18">
        <v>35</v>
      </c>
      <c r="F35" s="19" cm="1">
        <f t="array" ref="F35">D35*E35</f>
        <v>560</v>
      </c>
    </row>
    <row r="36" ht="21.75" customHeight="1">
      <c r="A36" s="20"/>
      <c r="B36" t="s" s="21">
        <v>41</v>
      </c>
      <c r="C36" s="20"/>
      <c r="D36" s="20"/>
      <c r="E36" s="20"/>
      <c r="F36" s="22" cm="1">
        <f t="array" ref="F36">SUM(F32:F35)</f>
        <v>1075</v>
      </c>
    </row>
    <row r="37" ht="21.75" customHeight="1">
      <c r="A37" s="12"/>
      <c r="B37" t="s" s="13">
        <v>42</v>
      </c>
      <c r="C37" s="12"/>
      <c r="D37" s="12"/>
      <c r="E37" s="12"/>
      <c r="F37" s="12"/>
    </row>
    <row r="38" ht="14" customHeight="1">
      <c r="A38" s="14"/>
      <c r="B38" t="s" s="15">
        <v>43</v>
      </c>
      <c r="C38" t="s" s="16">
        <v>16</v>
      </c>
      <c r="D38" s="17">
        <v>1</v>
      </c>
      <c r="E38" s="18">
        <v>320</v>
      </c>
      <c r="F38" s="19" cm="1">
        <f t="array" ref="F38">D38*E38</f>
        <v>320</v>
      </c>
    </row>
    <row r="39" ht="14" customHeight="1">
      <c r="A39" s="14"/>
      <c r="B39" t="s" s="15">
        <v>44</v>
      </c>
      <c r="C39" t="s" s="16">
        <v>16</v>
      </c>
      <c r="D39" s="17">
        <v>1</v>
      </c>
      <c r="E39" s="18">
        <v>180</v>
      </c>
      <c r="F39" s="19" cm="1">
        <f t="array" ref="F39">D39*E39</f>
        <v>180</v>
      </c>
    </row>
    <row r="40" ht="14" customHeight="1">
      <c r="A40" s="14"/>
      <c r="B40" t="s" s="15">
        <v>45</v>
      </c>
      <c r="C40" t="s" s="16">
        <v>26</v>
      </c>
      <c r="D40" s="17">
        <v>10</v>
      </c>
      <c r="E40" s="18">
        <v>130</v>
      </c>
      <c r="F40" s="19" cm="1">
        <f t="array" ref="F40">D40*E40</f>
        <v>1300</v>
      </c>
    </row>
    <row r="41" ht="14" customHeight="1">
      <c r="A41" s="14"/>
      <c r="B41" t="s" s="15">
        <v>46</v>
      </c>
      <c r="C41" t="s" s="16">
        <v>19</v>
      </c>
      <c r="D41" s="17">
        <v>16</v>
      </c>
      <c r="E41" s="18">
        <v>35</v>
      </c>
      <c r="F41" s="19" cm="1">
        <f t="array" ref="F41">D41*E41</f>
        <v>560</v>
      </c>
    </row>
    <row r="42" ht="21.75" customHeight="1">
      <c r="A42" s="20"/>
      <c r="B42" t="s" s="21">
        <v>47</v>
      </c>
      <c r="C42" s="20"/>
      <c r="D42" s="20"/>
      <c r="E42" s="20"/>
      <c r="F42" s="22" cm="1">
        <f t="array" ref="F42">SUM(F38:F41)</f>
        <v>2360</v>
      </c>
    </row>
    <row r="43" ht="21.75" customHeight="1">
      <c r="A43" s="12"/>
      <c r="B43" t="s" s="13">
        <v>48</v>
      </c>
      <c r="C43" s="12"/>
      <c r="D43" s="12"/>
      <c r="E43" s="12"/>
      <c r="F43" s="12"/>
    </row>
    <row r="44" ht="14" customHeight="1">
      <c r="A44" s="14"/>
      <c r="B44" t="s" s="15">
        <v>49</v>
      </c>
      <c r="C44" t="s" s="16">
        <v>16</v>
      </c>
      <c r="D44" s="17">
        <v>1</v>
      </c>
      <c r="E44" s="18">
        <v>40</v>
      </c>
      <c r="F44" s="19" cm="1">
        <f t="array" ref="F44">D44*E44</f>
        <v>40</v>
      </c>
    </row>
    <row r="45" ht="14" customHeight="1">
      <c r="A45" s="14"/>
      <c r="B45" t="s" s="15">
        <v>50</v>
      </c>
      <c r="C45" t="s" s="16">
        <v>19</v>
      </c>
      <c r="D45" s="17">
        <v>6</v>
      </c>
      <c r="E45" s="18">
        <v>40</v>
      </c>
      <c r="F45" s="19" cm="1">
        <f t="array" ref="F45">D45*E45</f>
        <v>240</v>
      </c>
    </row>
    <row r="46" ht="14" customHeight="1">
      <c r="A46" s="14"/>
      <c r="B46" t="s" s="15">
        <v>51</v>
      </c>
      <c r="C46" t="s" s="16">
        <v>16</v>
      </c>
      <c r="D46" s="17">
        <v>1</v>
      </c>
      <c r="E46" s="18">
        <v>290</v>
      </c>
      <c r="F46" s="19" cm="1">
        <f t="array" ref="F46">D46*E46</f>
        <v>290</v>
      </c>
    </row>
    <row r="47" ht="14" customHeight="1">
      <c r="A47" s="14"/>
      <c r="B47" t="s" s="15">
        <v>52</v>
      </c>
      <c r="C47" t="s" s="16">
        <v>19</v>
      </c>
      <c r="D47" s="17">
        <v>12</v>
      </c>
      <c r="E47" s="18">
        <v>40</v>
      </c>
      <c r="F47" s="19" cm="1">
        <f t="array" ref="F47">D47*E47</f>
        <v>480</v>
      </c>
    </row>
    <row r="48" ht="21.75" customHeight="1">
      <c r="A48" s="20"/>
      <c r="B48" t="s" s="21">
        <v>53</v>
      </c>
      <c r="C48" s="20"/>
      <c r="D48" s="20"/>
      <c r="E48" s="20"/>
      <c r="F48" s="22" cm="1">
        <f t="array" ref="F48">SUM(F44:F47)</f>
        <v>1050</v>
      </c>
    </row>
    <row r="49" ht="21.75" customHeight="1">
      <c r="A49" s="12"/>
      <c r="B49" t="s" s="13">
        <v>54</v>
      </c>
      <c r="C49" s="12"/>
      <c r="D49" s="12"/>
      <c r="E49" s="12"/>
      <c r="F49" s="12"/>
    </row>
    <row r="50" ht="14" customHeight="1">
      <c r="A50" s="14"/>
      <c r="B50" t="s" s="15">
        <v>55</v>
      </c>
      <c r="C50" t="s" s="16">
        <v>56</v>
      </c>
      <c r="D50" s="17">
        <v>77</v>
      </c>
      <c r="E50" s="18">
        <v>18</v>
      </c>
      <c r="F50" s="19" cm="1">
        <f t="array" ref="F50">D50*E50</f>
        <v>1386</v>
      </c>
    </row>
    <row r="51" ht="14" customHeight="1">
      <c r="A51" s="14"/>
      <c r="B51" t="s" s="15">
        <v>57</v>
      </c>
      <c r="C51" t="s" s="16">
        <v>16</v>
      </c>
      <c r="D51" s="17">
        <v>1</v>
      </c>
      <c r="E51" s="18">
        <v>250</v>
      </c>
      <c r="F51" s="19" cm="1">
        <f t="array" ref="F51">D51*E51</f>
        <v>250</v>
      </c>
    </row>
    <row r="52" ht="14" customHeight="1">
      <c r="A52" s="14"/>
      <c r="B52" t="s" s="15">
        <v>58</v>
      </c>
      <c r="C52" t="s" s="16">
        <v>19</v>
      </c>
      <c r="D52" s="17">
        <v>20</v>
      </c>
      <c r="E52" s="18">
        <v>40</v>
      </c>
      <c r="F52" s="19" cm="1">
        <f t="array" ref="F52">D52*E52</f>
        <v>800</v>
      </c>
    </row>
    <row r="53" ht="14" customHeight="1">
      <c r="A53" s="14"/>
      <c r="B53" t="s" s="15">
        <v>59</v>
      </c>
      <c r="C53" t="s" s="16">
        <v>16</v>
      </c>
      <c r="D53" s="17">
        <v>1</v>
      </c>
      <c r="E53" s="18">
        <v>420</v>
      </c>
      <c r="F53" s="19" cm="1">
        <f t="array" ref="F53">D53*E53</f>
        <v>420</v>
      </c>
    </row>
    <row r="54" ht="14" customHeight="1">
      <c r="A54" s="14"/>
      <c r="B54" t="s" s="15">
        <v>60</v>
      </c>
      <c r="C54" t="s" s="16">
        <v>19</v>
      </c>
      <c r="D54" s="17">
        <v>16</v>
      </c>
      <c r="E54" s="18">
        <v>40</v>
      </c>
      <c r="F54" s="19" cm="1">
        <f t="array" ref="F54">D54*E54</f>
        <v>640</v>
      </c>
    </row>
    <row r="55" ht="21.75" customHeight="1">
      <c r="A55" s="20"/>
      <c r="B55" t="s" s="21">
        <v>61</v>
      </c>
      <c r="C55" s="20"/>
      <c r="D55" s="20"/>
      <c r="E55" s="20"/>
      <c r="F55" s="22" cm="1">
        <f t="array" ref="F55">SUM(F50:F54)</f>
        <v>3496</v>
      </c>
    </row>
    <row r="56" ht="21.75" customHeight="1">
      <c r="A56" s="12"/>
      <c r="B56" t="s" s="13">
        <v>62</v>
      </c>
      <c r="C56" s="12"/>
      <c r="D56" s="12"/>
      <c r="E56" s="12"/>
      <c r="F56" s="12"/>
    </row>
    <row r="57" ht="14" customHeight="1">
      <c r="A57" s="14"/>
      <c r="B57" t="s" s="15">
        <v>63</v>
      </c>
      <c r="C57" t="s" s="16">
        <v>16</v>
      </c>
      <c r="D57" s="17">
        <v>1</v>
      </c>
      <c r="E57" s="18">
        <v>90</v>
      </c>
      <c r="F57" s="19" cm="1">
        <f t="array" ref="F57">D57*E57</f>
        <v>90</v>
      </c>
    </row>
    <row r="58" ht="14" customHeight="1">
      <c r="A58" s="14"/>
      <c r="B58" t="s" s="15">
        <v>64</v>
      </c>
      <c r="C58" t="s" s="16">
        <v>19</v>
      </c>
      <c r="D58" s="17">
        <v>10</v>
      </c>
      <c r="E58" s="18">
        <v>40</v>
      </c>
      <c r="F58" s="19" cm="1">
        <f t="array" ref="F58">D58*E58</f>
        <v>400</v>
      </c>
    </row>
    <row r="59" ht="21.75" customHeight="1">
      <c r="A59" s="20"/>
      <c r="B59" t="s" s="21">
        <v>65</v>
      </c>
      <c r="C59" s="20"/>
      <c r="D59" s="20"/>
      <c r="E59" s="20"/>
      <c r="F59" s="22" cm="1">
        <f t="array" ref="F59">SUM(F57:F58)</f>
        <v>490</v>
      </c>
    </row>
    <row r="60" ht="21.75" customHeight="1">
      <c r="A60" s="12"/>
      <c r="B60" t="s" s="13">
        <v>66</v>
      </c>
      <c r="C60" s="12"/>
      <c r="D60" s="12"/>
      <c r="E60" s="12"/>
      <c r="F60" s="12"/>
    </row>
    <row r="61" ht="25" customHeight="1">
      <c r="A61" s="14"/>
      <c r="B61" t="s" s="15">
        <v>67</v>
      </c>
      <c r="C61" t="s" s="16">
        <v>16</v>
      </c>
      <c r="D61" s="17">
        <v>1</v>
      </c>
      <c r="E61" s="18">
        <v>4000</v>
      </c>
      <c r="F61" s="19" cm="1">
        <f t="array" ref="F61">D61*E61</f>
        <v>4000</v>
      </c>
    </row>
    <row r="62" ht="14" customHeight="1">
      <c r="A62" s="14"/>
      <c r="B62" t="s" s="15">
        <v>68</v>
      </c>
      <c r="C62" t="s" s="16">
        <v>19</v>
      </c>
      <c r="D62" s="17">
        <v>20</v>
      </c>
      <c r="E62" s="18">
        <v>40</v>
      </c>
      <c r="F62" s="19" cm="1">
        <f t="array" ref="F62">D62*E62</f>
        <v>800</v>
      </c>
    </row>
    <row r="63" ht="14" customHeight="1">
      <c r="A63" s="14"/>
      <c r="B63" t="s" s="15">
        <v>69</v>
      </c>
      <c r="C63" t="s" s="16">
        <v>70</v>
      </c>
      <c r="D63" s="17">
        <v>30</v>
      </c>
      <c r="E63" s="18">
        <v>20</v>
      </c>
      <c r="F63" s="19" cm="1">
        <f t="array" ref="F63">D63*E63</f>
        <v>600</v>
      </c>
    </row>
    <row r="64" ht="14" customHeight="1">
      <c r="A64" s="14"/>
      <c r="B64" t="s" s="15">
        <v>71</v>
      </c>
      <c r="C64" t="s" s="16">
        <v>19</v>
      </c>
      <c r="D64" s="17">
        <v>10</v>
      </c>
      <c r="E64" s="18">
        <v>35</v>
      </c>
      <c r="F64" s="19" cm="1">
        <f t="array" ref="F64">D64*E64</f>
        <v>350</v>
      </c>
    </row>
    <row r="65" ht="14" customHeight="1">
      <c r="A65" s="14"/>
      <c r="B65" t="s" s="15">
        <v>72</v>
      </c>
      <c r="C65" t="s" s="16">
        <v>16</v>
      </c>
      <c r="D65" s="17">
        <v>1</v>
      </c>
      <c r="E65" s="18">
        <v>150</v>
      </c>
      <c r="F65" s="19" cm="1">
        <f t="array" ref="F65">D65*E65</f>
        <v>150</v>
      </c>
    </row>
    <row r="66" ht="14" customHeight="1">
      <c r="A66" s="14"/>
      <c r="B66" t="s" s="15">
        <v>73</v>
      </c>
      <c r="C66" t="s" s="16">
        <v>16</v>
      </c>
      <c r="D66" s="17">
        <v>1</v>
      </c>
      <c r="E66" s="18">
        <v>250</v>
      </c>
      <c r="F66" s="19" cm="1">
        <f t="array" ref="F66">D66*E66</f>
        <v>250</v>
      </c>
    </row>
    <row r="67" ht="14" customHeight="1">
      <c r="A67" s="14"/>
      <c r="B67" t="s" s="15">
        <v>74</v>
      </c>
      <c r="C67" t="s" s="16">
        <v>19</v>
      </c>
      <c r="D67" s="17">
        <v>10</v>
      </c>
      <c r="E67" s="18">
        <v>40</v>
      </c>
      <c r="F67" s="19" cm="1">
        <f t="array" ref="F67">D67*E67</f>
        <v>400</v>
      </c>
    </row>
    <row r="68" ht="21.75" customHeight="1">
      <c r="A68" s="20"/>
      <c r="B68" t="s" s="21">
        <v>75</v>
      </c>
      <c r="C68" s="20"/>
      <c r="D68" s="20"/>
      <c r="E68" s="20"/>
      <c r="F68" s="22" cm="1">
        <f t="array" ref="F68">SUM(F61:F67)</f>
        <v>6550</v>
      </c>
    </row>
    <row r="69" ht="21.75" customHeight="1">
      <c r="A69" s="12"/>
      <c r="B69" t="s" s="13">
        <v>76</v>
      </c>
      <c r="C69" s="12"/>
      <c r="D69" s="12"/>
      <c r="E69" s="12"/>
      <c r="F69" s="12"/>
    </row>
    <row r="70" ht="14" customHeight="1">
      <c r="A70" s="14"/>
      <c r="B70" t="s" s="15">
        <v>77</v>
      </c>
      <c r="C70" t="s" s="16">
        <v>16</v>
      </c>
      <c r="D70" s="17">
        <v>1</v>
      </c>
      <c r="E70" s="18">
        <v>90</v>
      </c>
      <c r="F70" s="19" cm="1">
        <f t="array" ref="F70">D70*E70</f>
        <v>90</v>
      </c>
    </row>
    <row r="71" ht="25" customHeight="1">
      <c r="A71" s="14"/>
      <c r="B71" t="s" s="15">
        <v>78</v>
      </c>
      <c r="C71" t="s" s="16">
        <v>19</v>
      </c>
      <c r="D71" s="17">
        <v>8</v>
      </c>
      <c r="E71" s="18">
        <v>40</v>
      </c>
      <c r="F71" s="19" cm="1">
        <f t="array" ref="F71">D71*E71</f>
        <v>320</v>
      </c>
    </row>
    <row r="72" ht="21.75" customHeight="1">
      <c r="A72" s="20"/>
      <c r="B72" t="s" s="21">
        <v>79</v>
      </c>
      <c r="C72" s="20"/>
      <c r="D72" s="20"/>
      <c r="E72" s="20"/>
      <c r="F72" s="22" cm="1">
        <f t="array" ref="F72">SUM(F70:F71)</f>
        <v>410</v>
      </c>
    </row>
    <row r="73" ht="21.75" customHeight="1">
      <c r="A73" s="12"/>
      <c r="B73" t="s" s="13">
        <v>80</v>
      </c>
      <c r="C73" s="12"/>
      <c r="D73" s="12"/>
      <c r="E73" s="12"/>
      <c r="F73" s="12"/>
    </row>
    <row r="74" ht="14" customHeight="1">
      <c r="A74" s="14"/>
      <c r="B74" t="s" s="15">
        <v>81</v>
      </c>
      <c r="C74" t="s" s="16">
        <v>16</v>
      </c>
      <c r="D74" s="17">
        <v>1</v>
      </c>
      <c r="E74" s="18">
        <v>120</v>
      </c>
      <c r="F74" s="19" cm="1">
        <f t="array" ref="F74">D74*E74</f>
        <v>120</v>
      </c>
    </row>
    <row r="75" ht="21.75" customHeight="1">
      <c r="A75" s="20"/>
      <c r="B75" t="s" s="21">
        <v>82</v>
      </c>
      <c r="C75" s="20"/>
      <c r="D75" s="20"/>
      <c r="E75" s="20"/>
      <c r="F75" s="23" cm="1">
        <f t="array" ref="F75">SUM(F74)</f>
        <v>120</v>
      </c>
    </row>
    <row r="76" ht="14.05" customHeight="1">
      <c r="A76" s="24"/>
      <c r="B76" s="25"/>
      <c r="C76" s="24"/>
      <c r="D76" s="24"/>
      <c r="E76" s="24"/>
      <c r="F76" s="26"/>
    </row>
    <row r="77" ht="13.55" customHeight="1">
      <c r="A77" s="2"/>
      <c r="B77" s="5"/>
      <c r="C77" s="2"/>
      <c r="D77" s="2"/>
      <c r="E77" s="2"/>
      <c r="F77" s="2"/>
    </row>
    <row r="78" ht="15" customHeight="1">
      <c r="A78" s="2"/>
      <c r="B78" t="s" s="6">
        <v>83</v>
      </c>
      <c r="C78" s="2"/>
      <c r="D78" s="2"/>
      <c r="E78" s="2"/>
      <c r="F78" s="2"/>
    </row>
    <row r="79" ht="13.55" customHeight="1">
      <c r="A79" s="2"/>
      <c r="B79" s="9"/>
      <c r="C79" s="8"/>
      <c r="D79" s="8"/>
      <c r="E79" s="8"/>
      <c r="F79" s="8"/>
    </row>
    <row r="80" ht="15" customHeight="1">
      <c r="A80" s="27"/>
      <c r="B80" t="s" s="15">
        <v>84</v>
      </c>
      <c r="C80" s="28"/>
      <c r="D80" s="28"/>
      <c r="E80" s="28"/>
      <c r="F80" s="29" cm="1">
        <f t="array" ref="F80">F20+F30+F36+F42+F48+F55+F59+F68+F72+F75</f>
        <v>22271</v>
      </c>
    </row>
    <row r="81" ht="25" customHeight="1">
      <c r="A81" s="2"/>
      <c r="B81" t="s" s="30">
        <v>85</v>
      </c>
      <c r="C81" s="31"/>
      <c r="D81" s="31"/>
      <c r="E81" s="31"/>
      <c r="F81" s="32">
        <v>1690</v>
      </c>
    </row>
    <row r="82" ht="25" customHeight="1">
      <c r="A82" s="27"/>
      <c r="B82" t="s" s="33">
        <v>86</v>
      </c>
      <c r="C82" s="20"/>
      <c r="D82" s="20"/>
      <c r="E82" s="20"/>
      <c r="F82" s="34" cm="1">
        <f t="array" ref="F82">-F81</f>
        <v>-1690</v>
      </c>
    </row>
    <row r="83" ht="13.55" customHeight="1">
      <c r="A83" s="2"/>
      <c r="B83" s="35"/>
      <c r="C83" s="36"/>
      <c r="D83" s="36"/>
      <c r="E83" s="36"/>
      <c r="F83" s="36"/>
    </row>
    <row r="84" ht="36" customHeight="1">
      <c r="A84" s="37"/>
      <c r="B84" t="s" s="38">
        <v>87</v>
      </c>
      <c r="C84" s="39"/>
      <c r="D84" s="39"/>
      <c r="E84" s="39"/>
      <c r="F84" s="40" cm="1">
        <f t="array" ref="F84">F80+F81+F82</f>
        <v>22271</v>
      </c>
    </row>
    <row r="85" ht="13.55" customHeight="1">
      <c r="A85" s="2"/>
      <c r="B85" s="41"/>
      <c r="C85" s="42"/>
      <c r="D85" s="42"/>
      <c r="E85" s="42"/>
      <c r="F85" s="42"/>
    </row>
    <row r="86" ht="13.55" customHeight="1">
      <c r="A86" s="2"/>
      <c r="B86" t="s" s="4">
        <v>88</v>
      </c>
      <c r="C86" s="2"/>
      <c r="D86" s="2"/>
      <c r="E86" s="2"/>
      <c r="F86" s="2"/>
    </row>
    <row r="87" ht="23" customHeight="1">
      <c r="A87" s="2"/>
      <c r="B87" t="s" s="4">
        <v>89</v>
      </c>
      <c r="C87" s="2"/>
      <c r="D87" s="2"/>
      <c r="E87" s="2"/>
      <c r="F87" s="2"/>
    </row>
    <row r="88" ht="23" customHeight="1">
      <c r="A88" s="2"/>
      <c r="B88" t="s" s="4">
        <v>90</v>
      </c>
      <c r="C88" s="2"/>
      <c r="D88" s="2"/>
      <c r="E88" s="2"/>
      <c r="F88" s="2"/>
    </row>
    <row r="89" ht="13.55" customHeight="1">
      <c r="A89" s="2"/>
      <c r="B89" s="5"/>
      <c r="C89" s="2"/>
      <c r="D89" s="2"/>
      <c r="E89" s="2"/>
      <c r="F89" s="2"/>
    </row>
    <row r="90" ht="15" customHeight="1">
      <c r="A90" s="2"/>
      <c r="B90" t="s" s="7">
        <v>91</v>
      </c>
      <c r="C90" s="2"/>
      <c r="D90" s="2"/>
      <c r="E90" s="2"/>
      <c r="F90" s="43" cm="1">
        <f t="array" ref="F90">ROUND(F84*0.3,0)</f>
        <v>6681</v>
      </c>
    </row>
    <row r="91" ht="15" customHeight="1">
      <c r="A91" s="2"/>
      <c r="B91" t="s" s="7">
        <v>92</v>
      </c>
      <c r="C91" s="2"/>
      <c r="D91" s="2"/>
      <c r="E91" s="2"/>
      <c r="F91" s="43" cm="1">
        <f t="array" ref="F91">F84-ROUND(F84*0.3,0)</f>
        <v>15590</v>
      </c>
    </row>
    <row r="92" ht="13.55" customHeight="1">
      <c r="A92" s="2"/>
      <c r="B92" s="5"/>
      <c r="C92" s="2"/>
      <c r="D92" s="2"/>
      <c r="E92" s="2"/>
      <c r="F92" s="2"/>
    </row>
    <row r="93" ht="13.55" customHeight="1">
      <c r="A93" s="2"/>
      <c r="B93" s="5"/>
      <c r="C93" s="2"/>
      <c r="D93" s="2"/>
      <c r="E93" s="2"/>
      <c r="F93" s="2"/>
    </row>
    <row r="94" ht="15" customHeight="1">
      <c r="A94" s="2"/>
      <c r="B94" t="s" s="6">
        <v>93</v>
      </c>
      <c r="C94" s="2"/>
      <c r="D94" s="2"/>
      <c r="E94" s="2"/>
      <c r="F94" s="2"/>
    </row>
    <row r="95" ht="25" customHeight="1">
      <c r="A95" s="2"/>
      <c r="B95" t="s" s="7">
        <v>94</v>
      </c>
      <c r="C95" s="2"/>
      <c r="D95" s="2"/>
      <c r="E95" s="2"/>
      <c r="F95" s="2"/>
    </row>
    <row r="96" ht="25" customHeight="1">
      <c r="A96" s="2"/>
      <c r="B96" t="s" s="7">
        <v>95</v>
      </c>
      <c r="C96" s="2"/>
      <c r="D96" s="2"/>
      <c r="E96" s="2"/>
      <c r="F96" s="2"/>
    </row>
    <row r="97" ht="25" customHeight="1">
      <c r="A97" s="2"/>
      <c r="B97" t="s" s="7">
        <v>96</v>
      </c>
      <c r="C97" s="2"/>
      <c r="D97" s="2"/>
      <c r="E97" s="2"/>
      <c r="F97" s="2"/>
    </row>
    <row r="98" ht="13.55" customHeight="1">
      <c r="A98" s="2"/>
      <c r="B98" s="5"/>
      <c r="C98" s="2"/>
      <c r="D98" s="2"/>
      <c r="E98" s="2"/>
      <c r="F98" s="2"/>
    </row>
    <row r="99" ht="13.55" customHeight="1">
      <c r="A99" s="2"/>
      <c r="B99" s="5"/>
      <c r="C99" s="2"/>
      <c r="D99" s="2"/>
      <c r="E99" s="2"/>
      <c r="F99" s="2"/>
    </row>
    <row r="100" ht="14" customHeight="1">
      <c r="A100" s="2"/>
      <c r="B100" t="s" s="7">
        <v>97</v>
      </c>
      <c r="C100" s="2"/>
      <c r="D100" s="2"/>
      <c r="E100" s="2"/>
      <c r="F100" s="2"/>
    </row>
    <row r="101" ht="13.55" customHeight="1">
      <c r="A101" s="2"/>
      <c r="B101" s="5"/>
      <c r="C101" s="2"/>
      <c r="D101" s="2"/>
      <c r="E101" s="2"/>
      <c r="F101" s="2"/>
    </row>
    <row r="102" ht="14" customHeight="1">
      <c r="A102" s="2"/>
      <c r="B102" t="s" s="7">
        <v>98</v>
      </c>
      <c r="C102" s="2"/>
      <c r="D102" s="2"/>
      <c r="E102" s="2"/>
      <c r="F102" s="2"/>
    </row>
    <row r="103" ht="13.55" customHeight="1">
      <c r="A103" s="2"/>
      <c r="B103" s="5"/>
      <c r="C103" s="2"/>
      <c r="D103" s="2"/>
      <c r="E103" s="2"/>
      <c r="F103" s="2"/>
    </row>
    <row r="104" ht="14" customHeight="1">
      <c r="A104" s="2"/>
      <c r="B104" t="s" s="7">
        <v>99</v>
      </c>
      <c r="C104" s="2"/>
      <c r="D104" s="2"/>
      <c r="E104" s="2"/>
      <c r="F104" s="2"/>
    </row>
    <row r="105" ht="13.55" customHeight="1">
      <c r="A105" s="2"/>
      <c r="B105" s="5"/>
      <c r="C105" s="2"/>
      <c r="D105" s="2"/>
      <c r="E105" s="2"/>
      <c r="F105" s="2"/>
    </row>
    <row r="106" ht="25" customHeight="1">
      <c r="A106" s="2"/>
      <c r="B106" t="s" s="7">
        <v>100</v>
      </c>
      <c r="C106" s="2"/>
      <c r="D106" s="2"/>
      <c r="E106" s="2"/>
      <c r="F106" s="2"/>
    </row>
    <row r="107" ht="13.55" customHeight="1">
      <c r="A107" s="2"/>
      <c r="B107" s="5"/>
      <c r="C107" s="2"/>
      <c r="D107" s="2"/>
      <c r="E107" s="2"/>
      <c r="F107" s="2"/>
    </row>
    <row r="108" ht="25" customHeight="1">
      <c r="A108" s="2"/>
      <c r="B108" t="s" s="7">
        <v>101</v>
      </c>
      <c r="C108" s="2"/>
      <c r="D108" s="2"/>
      <c r="E108" s="2"/>
      <c r="F108" s="2"/>
    </row>
    <row r="109" ht="13.55" customHeight="1">
      <c r="A109" s="2"/>
      <c r="B109" s="5"/>
      <c r="C109" s="2"/>
      <c r="D109" s="2"/>
      <c r="E109" s="2"/>
      <c r="F109" s="2"/>
    </row>
  </sheetData>
  <pageMargins left="0.5" right="0.5" top="0.5" bottom="0.5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